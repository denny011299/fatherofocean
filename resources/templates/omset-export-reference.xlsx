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4334"/>
  <workbookPr defaultThemeVersion="153222"/>
  <bookViews>
    <workbookView xWindow="-108" yWindow="-108" windowWidth="23256" windowHeight="12456" activeTab="0"/>
  </bookViews>
  <sheets>
    <sheet name="Worksheet" sheetId="1" r:id="rId1"/>
  </sheets>
  <calcPr forceFullCalc="1" calcId="191029"/>
</workbook>
</file>

<file path=xl/sharedStrings.xml><?xml version="1.0" encoding="utf-8"?>
<sst xmlns="http://schemas.openxmlformats.org/spreadsheetml/2006/main" uniqueCount="99" count="99">
  <si>
    <t>No</t>
  </si>
  <si>
    <t>Serial No.</t>
  </si>
  <si>
    <t>Marking</t>
  </si>
  <si>
    <t>CBM</t>
  </si>
  <si>
    <t>0605.11</t>
  </si>
  <si>
    <t>EK/ON/GWSS</t>
  </si>
  <si>
    <t>EK/ON/ERMAC12</t>
  </si>
  <si>
    <t>0605.166</t>
  </si>
  <si>
    <t>0605.05</t>
  </si>
  <si>
    <t>EK/ON/SONDAKH</t>
  </si>
  <si>
    <t>0805.16</t>
  </si>
  <si>
    <t>EK/ON/ALUVLY22</t>
  </si>
  <si>
    <t>0805.02</t>
  </si>
  <si>
    <t>EK/ON/RICO</t>
  </si>
  <si>
    <t>EK/ON/AGTRADE</t>
  </si>
  <si>
    <t>0605.2</t>
  </si>
  <si>
    <t>EK/ON/JOHS</t>
  </si>
  <si>
    <t>0605.01</t>
  </si>
  <si>
    <t>0705.10</t>
  </si>
  <si>
    <t>EK/ON/FULU234</t>
  </si>
  <si>
    <t>08.05.50</t>
  </si>
  <si>
    <t>0605.1102</t>
  </si>
  <si>
    <t>EK/ON/ERMAC13</t>
  </si>
  <si>
    <t>Keuntungan</t>
  </si>
  <si>
    <t>Total Jual</t>
  </si>
  <si>
    <t>Marketing</t>
  </si>
  <si>
    <t>Daniel</t>
  </si>
  <si>
    <t>Total Terima income</t>
  </si>
  <si>
    <t>Partai</t>
  </si>
  <si>
    <t>David</t>
  </si>
  <si>
    <t>Pendapatan Perusahaan</t>
  </si>
  <si>
    <t>Ocean Link</t>
  </si>
  <si>
    <t>Total CBM</t>
  </si>
  <si>
    <t>Harga Modal Kg</t>
  </si>
  <si>
    <t>Total Modal CBM</t>
  </si>
  <si>
    <t>KG</t>
  </si>
  <si>
    <t>Item</t>
  </si>
  <si>
    <t>Keterangan</t>
  </si>
  <si>
    <t>Harga jual CBM</t>
  </si>
  <si>
    <t>Harga Jual Kg</t>
  </si>
  <si>
    <t>Over - 100</t>
  </si>
  <si>
    <t>Harga Modal CBM</t>
  </si>
  <si>
    <t>Total Modal Kg</t>
  </si>
  <si>
    <t>Tanggal Masuk</t>
  </si>
  <si>
    <t>Tanggal Stuffing</t>
  </si>
  <si>
    <t>Status</t>
  </si>
  <si>
    <t>pembayaran</t>
  </si>
  <si>
    <t>Kategori</t>
  </si>
  <si>
    <t>Pembayaran</t>
  </si>
  <si>
    <t>Loading</t>
  </si>
  <si>
    <t>Sudah Lunas</t>
  </si>
  <si>
    <t>Aditional Fee</t>
  </si>
  <si>
    <t>Sepatu Non Brand</t>
  </si>
  <si>
    <t>update</t>
  </si>
  <si>
    <t>Update</t>
  </si>
  <si>
    <t>Bongkaran</t>
  </si>
  <si>
    <t>sepatu</t>
  </si>
  <si>
    <t>belum lunas</t>
  </si>
  <si>
    <t>Sepatu dan alas kaki untuk dewasa</t>
  </si>
  <si>
    <t>biaya forklift</t>
  </si>
  <si>
    <t>Total Modal</t>
  </si>
  <si>
    <t>Komisi Sales</t>
  </si>
  <si>
    <t>Laba Kotor</t>
  </si>
  <si>
    <t>2,5%</t>
  </si>
  <si>
    <t>Total Komisi Sales</t>
  </si>
  <si>
    <t>PIC</t>
  </si>
  <si>
    <t>Erich</t>
  </si>
  <si>
    <t>Profit</t>
  </si>
  <si>
    <t>Final Komisi</t>
  </si>
  <si>
    <t>Total Terima income PIC</t>
  </si>
  <si>
    <t>15 mei 2026</t>
  </si>
  <si>
    <t>15 Mei 2026</t>
  </si>
  <si>
    <t>Total CBM &amp; Berat</t>
  </si>
  <si>
    <t>belum Lunas</t>
  </si>
  <si>
    <t>Stuffing</t>
  </si>
  <si>
    <t>-</t>
  </si>
  <si>
    <t>06.05.13</t>
  </si>
  <si>
    <t>16 Mei 2026</t>
  </si>
  <si>
    <t>EK/ON/TESTING 1</t>
  </si>
  <si>
    <t>EK/ON/TESTING</t>
  </si>
  <si>
    <t>ATK</t>
  </si>
  <si>
    <t>Umum</t>
  </si>
  <si>
    <t>2,6%</t>
  </si>
  <si>
    <t>2,7%</t>
  </si>
  <si>
    <t>2,8%</t>
  </si>
  <si>
    <t>2,9%</t>
  </si>
  <si>
    <t>2,10%</t>
  </si>
  <si>
    <t>2,11%</t>
  </si>
  <si>
    <t>2,12%</t>
  </si>
  <si>
    <t>2,13%</t>
  </si>
  <si>
    <t>2,14%</t>
  </si>
  <si>
    <t>2,15%</t>
  </si>
  <si>
    <t>Adul</t>
  </si>
  <si>
    <t>Final Komisi Sales</t>
  </si>
  <si>
    <t>EK/ON/Coba</t>
  </si>
  <si>
    <t>EK/ON/TESTING Lagi</t>
  </si>
  <si>
    <t>2,5</t>
  </si>
  <si>
    <t>badul</t>
  </si>
  <si>
    <t>Asep</t>
  </si>
</sst>
</file>

<file path=xl/styles.xml><?xml version="1.0" encoding="utf-8"?>
<styleSheet xmlns="http://schemas.openxmlformats.org/spreadsheetml/2006/main">
  <numFmts count="10">
    <numFmt numFmtId="0" formatCode="General"/>
    <numFmt numFmtId="1" formatCode="0"/>
    <numFmt numFmtId="173" formatCode="#.000"/>
    <numFmt numFmtId="167" formatCode="#"/>
    <numFmt numFmtId="165" formatCode="_-[$Rp-421]* #,##0_-;\-[$Rp-421]* #,##0_-;_-[$Rp-421]* &quot;-&quot;??_-;_-@_-"/>
    <numFmt numFmtId="166" formatCode="_-[$Rp-421]* #,##0_-;\-[$Rp-421]* #,##0_-;_-[$Rp-421]* &quot;-&quot;???_-;_-@_-"/>
    <numFmt numFmtId="16" formatCode="d-mmm"/>
    <numFmt numFmtId="164" formatCode="#.##0"/>
    <numFmt numFmtId="169" formatCode="_-[$Rp-421]* #,##0.00_-;\-[$Rp-421]* #,##0.00_-;_-[$Rp-421]* &quot;-&quot;??_-;_-@_-"/>
    <numFmt numFmtId="170" formatCode="0.000"/>
  </numFmts>
  <fonts count="7">
    <font>
      <name val="Calibri"/>
      <sz val="11"/>
    </font>
    <font>
      <name val="Calibri"/>
      <sz val="11"/>
    </font>
    <font>
      <name val="Calibri"/>
      <b/>
      <sz val="11"/>
      <color rgb="FFFFFFFF"/>
    </font>
    <font>
      <name val="Calibri"/>
      <b/>
      <sz val="11"/>
      <color rgb="FFFFFFFF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CCFFFF"/>
      </patternFill>
    </fill>
    <fill>
      <patternFill patternType="solid">
        <fgColor rgb="FFC2D69B"/>
        <bgColor rgb="FF000000"/>
      </patternFill>
    </fill>
    <fill>
      <patternFill patternType="solid">
        <fgColor rgb="FFC2D69B"/>
        <bgColor indexed="64"/>
      </patternFill>
    </fill>
    <fill>
      <patternFill patternType="solid">
        <fgColor rgb="FF65FF65"/>
      </patternFill>
    </fill>
    <fill>
      <patternFill patternType="solid">
        <fgColor rgb="FFFFFFFF"/>
        <bgColor indexed="64"/>
      </patternFill>
    </fill>
    <fill>
      <patternFill patternType="solid">
        <fgColor rgb="FFFFCC00"/>
      </patternFill>
    </fill>
  </fills>
  <borders count="1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BD5E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4" fillId="3" borderId="4" xfId="0" applyNumberFormat="1" applyFill="1" applyBorder="1" applyAlignment="1">
      <alignment horizontal="center" vertical="center"/>
    </xf>
    <xf numFmtId="0" fontId="4" fillId="3" borderId="5" xfId="0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ill="1" applyBorder="1" applyAlignment="1">
      <alignment horizontal="center" vertical="center"/>
    </xf>
    <xf numFmtId="173" fontId="4" fillId="3" borderId="5" xfId="0" applyNumberFormat="1" applyFill="1" applyBorder="1" applyAlignment="1">
      <alignment horizontal="center" vertical="center"/>
    </xf>
    <xf numFmtId="167" fontId="4" fillId="3" borderId="5" xfId="0" applyNumberFormat="1" applyFill="1" applyBorder="1" applyAlignment="1">
      <alignment horizontal="center" vertical="center"/>
    </xf>
    <xf numFmtId="165" fontId="4" fillId="3" borderId="5" xfId="0" applyNumberFormat="1" applyFill="1" applyBorder="1" applyAlignment="1">
      <alignment horizontal="right" vertical="center"/>
    </xf>
    <xf numFmtId="165" fontId="4" fillId="3" borderId="5" xfId="0" applyNumberFormat="1" applyFont="1" applyFill="1" applyBorder="1" applyAlignment="1">
      <alignment horizontal="center" vertical="center" wrapText="1"/>
    </xf>
    <xf numFmtId="165" fontId="4" fillId="3" borderId="5" xfId="0" applyNumberFormat="1" applyFill="1" applyBorder="1" applyAlignment="1">
      <alignment horizontal="center" vertical="center"/>
    </xf>
    <xf numFmtId="166" fontId="4" fillId="0" borderId="5" xfId="0" applyNumberFormat="1" applyBorder="1" applyAlignment="1">
      <alignment horizontal="center" vertical="center"/>
    </xf>
    <xf numFmtId="166" fontId="4" fillId="4" borderId="5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" fontId="5" fillId="0" borderId="5" xfId="0" applyNumberFormat="1" applyFont="1" applyBorder="1" applyAlignment="1">
      <alignment horizontal="center" vertical="center"/>
    </xf>
    <xf numFmtId="0" fontId="4" fillId="0" borderId="5" xfId="0" applyBorder="1" applyAlignment="1">
      <alignment horizontal="left" vertical="center"/>
    </xf>
    <xf numFmtId="0" fontId="4" fillId="0" borderId="5" xfId="0" applyBorder="1" applyAlignment="1">
      <alignment horizontal="center" vertical="center"/>
    </xf>
    <xf numFmtId="164" fontId="4" fillId="0" borderId="5" xfId="0" applyNumberFormat="1" applyBorder="1" applyAlignment="1">
      <alignment horizontal="center" vertical="center"/>
    </xf>
    <xf numFmtId="164" fontId="4" fillId="0" borderId="5" xfId="0" applyNumberFormat="1" applyBorder="1" applyAlignment="1">
      <alignment horizontal="right" vertical="center"/>
    </xf>
    <xf numFmtId="165" fontId="4" fillId="0" borderId="5" xfId="0" applyNumberFormat="1" applyBorder="1" applyAlignment="1">
      <alignment horizontal="right" vertical="center"/>
    </xf>
    <xf numFmtId="165" fontId="4" fillId="0" borderId="5" xfId="0" applyNumberFormat="1" applyBorder="1" applyAlignment="1">
      <alignment horizontal="center" vertical="center"/>
    </xf>
    <xf numFmtId="164" fontId="4" fillId="3" borderId="5" xfId="0" applyNumberFormat="1" applyFill="1" applyBorder="1" applyAlignment="1">
      <alignment horizontal="center" vertical="center"/>
    </xf>
    <xf numFmtId="164" fontId="4" fillId="3" borderId="5" xfId="0" applyNumberFormat="1" applyFill="1" applyBorder="1" applyAlignment="1">
      <alignment horizontal="right" vertical="center"/>
    </xf>
    <xf numFmtId="1" fontId="4" fillId="0" borderId="4" xfId="0" applyNumberFormat="1" applyBorder="1" applyAlignment="1">
      <alignment horizontal="center" vertical="center"/>
    </xf>
    <xf numFmtId="16" fontId="4" fillId="0" borderId="5" xfId="0" applyNumberFormat="1" applyBorder="1" applyAlignment="1">
      <alignment horizontal="center" vertical="center"/>
    </xf>
    <xf numFmtId="167" fontId="4" fillId="0" borderId="5" xfId="0" applyNumberForma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73" fontId="5" fillId="3" borderId="5" xfId="0" applyNumberFormat="1" applyFont="1" applyFill="1" applyBorder="1" applyAlignment="1">
      <alignment horizontal="center" vertical="center"/>
    </xf>
    <xf numFmtId="167" fontId="5" fillId="3" borderId="9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66" fontId="5" fillId="7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69" fontId="4" fillId="0" borderId="0" xfId="0" applyNumberFormat="1" applyAlignment="1">
      <alignment vertical="bottom"/>
    </xf>
    <xf numFmtId="1" fontId="4" fillId="0" borderId="1" xfId="0" applyNumberFormat="1" applyBorder="1" applyAlignment="1">
      <alignment horizontal="center" vertical="center"/>
    </xf>
    <xf numFmtId="0" fontId="4" fillId="3" borderId="12" xfId="0" applyFill="1" applyBorder="1" applyAlignment="1">
      <alignment horizontal="center" vertical="center"/>
    </xf>
    <xf numFmtId="0" fontId="4" fillId="3" borderId="13" xfId="0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/>
    </xf>
    <xf numFmtId="166" fontId="4" fillId="0" borderId="5" xfId="0" applyNumberFormat="1" applyBorder="1" applyAlignment="1">
      <alignment vertical="bottom"/>
    </xf>
    <xf numFmtId="0" fontId="5" fillId="8" borderId="0" xfId="0" applyFont="1" applyFill="1" applyAlignment="1">
      <alignment vertical="bottom"/>
    </xf>
    <xf numFmtId="164" fontId="5" fillId="8" borderId="5" xfId="0" applyNumberFormat="1" applyFont="1" applyFill="1" applyBorder="1" applyAlignment="1">
      <alignment vertical="bottom"/>
    </xf>
    <xf numFmtId="164" fontId="5" fillId="8" borderId="9" xfId="0" applyNumberFormat="1" applyFont="1" applyFill="1" applyBorder="1" applyAlignment="1">
      <alignment vertical="bottom"/>
    </xf>
    <xf numFmtId="0" fontId="5" fillId="6" borderId="9" xfId="0" applyFont="1" applyFill="1" applyBorder="1" applyAlignment="1">
      <alignment horizontal="center" vertical="bottom"/>
    </xf>
    <xf numFmtId="0" fontId="5" fillId="6" borderId="7" xfId="0" applyFont="1" applyFill="1" applyBorder="1" applyAlignment="1">
      <alignment horizontal="center" vertical="bottom"/>
    </xf>
    <xf numFmtId="0" fontId="5" fillId="6" borderId="14" xfId="0" applyFont="1" applyFill="1" applyBorder="1" applyAlignment="1">
      <alignment horizontal="center" vertical="bottom"/>
    </xf>
    <xf numFmtId="166" fontId="5" fillId="8" borderId="5" xfId="0" applyNumberFormat="1" applyFont="1" applyFill="1" applyBorder="1" applyAlignment="1">
      <alignment vertical="bottom"/>
    </xf>
    <xf numFmtId="170" fontId="5" fillId="0" borderId="5" xfId="0" applyNumberFormat="1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bottom"/>
    </xf>
    <xf numFmtId="165" fontId="5" fillId="9" borderId="5" xfId="0" applyNumberFormat="1" applyFont="1" applyFill="1" applyBorder="1" applyAlignment="1">
      <alignment vertical="bottom"/>
    </xf>
    <xf numFmtId="0" fontId="5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FD96"/>
  <sheetViews>
    <sheetView tabSelected="1" workbookViewId="0" topLeftCell="N1" zoomScale="49">
      <pane ySplit="1" topLeftCell="A2" state="frozen" activePane="bottomLeft"/>
      <selection pane="bottomLeft" activeCell="AH44" sqref="AH44"/>
    </sheetView>
  </sheetViews>
  <sheetFormatPr defaultRowHeight="14.4" defaultColWidth="10"/>
  <cols>
    <col min="1" max="1" hidden="1" customWidth="1" width="5.6640625" style="0"/>
    <col min="2" max="2" customWidth="1" bestFit="1" width="15.109375" style="0"/>
    <col min="3" max="3" customWidth="1" bestFit="1" width="15.109375" style="0"/>
    <col min="4" max="4" customWidth="1" width="17.554688" style="0"/>
    <col min="5" max="5" customWidth="1" bestFit="1" width="17.554688" style="1"/>
    <col min="6" max="6" customWidth="1" bestFit="1" width="17.554688" style="1"/>
    <col min="7" max="7" customWidth="1" width="12.886719" style="0"/>
    <col min="8" max="8" customWidth="1" width="12.886719" style="0"/>
    <col min="9" max="9" customWidth="1" width="20.21875" style="0"/>
    <col min="10" max="10" customWidth="1" width="16.554688" style="0"/>
    <col min="11" max="11" customWidth="1" width="16.554688" style="0"/>
    <col min="12" max="12" customWidth="1" width="16.109375" style="0"/>
    <col min="13" max="13" customWidth="1" width="16.109375" style="0"/>
    <col min="14" max="14" customWidth="1" width="16.109375" style="0"/>
    <col min="15" max="15" customWidth="1" width="16.109375" style="0"/>
    <col min="16" max="16" customWidth="1" bestFit="1" width="16.109375" style="0"/>
    <col min="17" max="17" customWidth="1" bestFit="1" width="18.21875" style="0"/>
    <col min="18" max="18" customWidth="1" bestFit="1" width="18.21875" style="0"/>
    <col min="19" max="19" customWidth="1" bestFit="1" width="18.21875" style="0"/>
    <col min="20" max="20" customWidth="1" bestFit="1" width="18.21875" style="0"/>
    <col min="21" max="21" customWidth="1" bestFit="1" width="18.21875" style="0"/>
    <col min="22" max="22" customWidth="1" width="18.332031" style="0"/>
    <col min="23" max="23" customWidth="1" bestFit="1" width="11.332031" style="0"/>
    <col min="24" max="24" hidden="1" customWidth="1" bestFit="1" width="16.5" style="0"/>
    <col min="25" max="25" customWidth="1" bestFit="1" width="16.5" style="0"/>
    <col min="26" max="26" customWidth="1" bestFit="1" width="15.902344" style="0"/>
    <col min="27" max="27" customWidth="1" bestFit="1" width="15.902344" style="0"/>
    <col min="28" max="28" customWidth="1" bestFit="1" width="15.796875" style="0"/>
    <col min="29" max="29" customWidth="1" bestFit="1" width="10.0" style="0"/>
    <col min="30" max="30" hidden="1" customWidth="1" bestFit="1" width="15.902344" style="0"/>
    <col min="31" max="31" customWidth="1" bestFit="1" width="16.0" style="0"/>
    <col min="32" max="32" customWidth="1" bestFit="1" width="10.0" style="0"/>
    <col min="33" max="33" customWidth="1" bestFit="1" width="10.0" style="0"/>
    <col min="34" max="34" customWidth="1" bestFit="1" width="10.0" style="0"/>
    <col min="35" max="35" customWidth="1" bestFit="1" width="10.0" style="0"/>
    <col min="36" max="36" customWidth="1" bestFit="1" width="10.0" style="0"/>
  </cols>
  <sheetData>
    <row r="1" spans="8:8" ht="22.05" customHeight="1">
      <c r="A1" s="2" t="s">
        <v>0</v>
      </c>
      <c r="B1" s="3" t="s">
        <v>1</v>
      </c>
      <c r="C1" s="3" t="s">
        <v>43</v>
      </c>
      <c r="D1" s="4" t="s">
        <v>2</v>
      </c>
      <c r="E1" s="4" t="s">
        <v>36</v>
      </c>
      <c r="F1" s="4" t="s">
        <v>47</v>
      </c>
      <c r="G1" s="4" t="s">
        <v>3</v>
      </c>
      <c r="H1" s="3" t="s">
        <v>35</v>
      </c>
      <c r="I1" s="3" t="s">
        <v>41</v>
      </c>
      <c r="J1" s="3" t="s">
        <v>33</v>
      </c>
      <c r="K1" s="3" t="s">
        <v>37</v>
      </c>
      <c r="L1" s="3" t="s">
        <v>38</v>
      </c>
      <c r="M1" s="3" t="s">
        <v>39</v>
      </c>
      <c r="N1" s="3" t="s">
        <v>51</v>
      </c>
      <c r="O1" s="3" t="s">
        <v>37</v>
      </c>
      <c r="P1" s="3" t="s">
        <v>60</v>
      </c>
      <c r="Q1" s="3" t="s">
        <v>24</v>
      </c>
      <c r="R1" s="3" t="s">
        <v>62</v>
      </c>
      <c r="S1" s="3" t="s">
        <v>61</v>
      </c>
      <c r="T1" s="3" t="s">
        <v>64</v>
      </c>
      <c r="U1" s="3" t="s">
        <v>93</v>
      </c>
      <c r="V1" s="5" t="s">
        <v>67</v>
      </c>
      <c r="W1" s="5" t="s">
        <v>25</v>
      </c>
      <c r="X1" s="5" t="s">
        <v>53</v>
      </c>
      <c r="Y1" s="6" t="s">
        <v>65</v>
      </c>
      <c r="Z1" s="6" t="s">
        <v>48</v>
      </c>
      <c r="AA1" s="6" t="s">
        <v>54</v>
      </c>
      <c r="AB1" s="6" t="s">
        <v>49</v>
      </c>
      <c r="AC1" s="6" t="s">
        <v>28</v>
      </c>
      <c r="AD1" s="5"/>
    </row>
    <row r="2" spans="8:8" ht="29.6">
      <c r="A2" s="7">
        <v>1.0</v>
      </c>
      <c r="B2" s="8" t="s">
        <v>4</v>
      </c>
      <c r="C2" s="8" t="s">
        <v>71</v>
      </c>
      <c r="D2" s="8" t="s">
        <v>5</v>
      </c>
      <c r="E2" s="9" t="s">
        <v>58</v>
      </c>
      <c r="F2" s="10" t="s">
        <v>52</v>
      </c>
      <c r="G2" s="11">
        <v>1.0</v>
      </c>
      <c r="H2" s="12">
        <v>600.0</v>
      </c>
      <c r="I2" s="13">
        <v>3950000.0</v>
      </c>
      <c r="J2" s="13">
        <v>7400.0</v>
      </c>
      <c r="K2" s="14" t="str">
        <f>IF(G2*500&gt;=H2,"CBM","CBM + Overweight -"&amp;H2-(G2*500)&amp;" Kg")</f>
        <v>CBM + Overweight -100 Kg</v>
      </c>
      <c r="L2" s="13">
        <v>4200000.0</v>
      </c>
      <c r="M2" s="13">
        <v>9000.0</v>
      </c>
      <c r="N2" s="13">
        <v>1000000.0</v>
      </c>
      <c r="O2" s="15" t="s">
        <v>59</v>
      </c>
      <c r="P2" s="15">
        <f>IF(G2*500&lt;=H2,(I2*G2)+(J2*(H2-(G2*500)))+N2,I2*G2+N2)</f>
        <v>5690000.0</v>
      </c>
      <c r="Q2" s="16">
        <f>IF(G2*500&lt;=H2,(L2*G2)+(M2*(H2-(G2*500)))+N2,L2*G2+N2)</f>
        <v>6100000.0</v>
      </c>
      <c r="R2" s="16">
        <f>SUM(Q2-P2)</f>
        <v>410000.0</v>
      </c>
      <c r="S2" s="16" t="s">
        <v>63</v>
      </c>
      <c r="T2" s="16">
        <f>SUM((Q2-N2)*2.5%)</f>
        <v>127500.0</v>
      </c>
      <c r="U2" s="17">
        <f>SUM(T2+T12)</f>
        <v>484725.0</v>
      </c>
      <c r="V2" s="16">
        <f>SUM(R2-T2)</f>
        <v>282500.0</v>
      </c>
      <c r="W2" s="18" t="s">
        <v>66</v>
      </c>
      <c r="X2" s="19"/>
      <c r="Y2" s="20" t="s">
        <v>29</v>
      </c>
      <c r="Z2" s="21" t="s">
        <v>50</v>
      </c>
      <c r="AA2" s="20" t="s">
        <v>55</v>
      </c>
      <c r="AB2" s="22">
        <v>46151.0</v>
      </c>
      <c r="AC2" s="20">
        <v>450.0</v>
      </c>
      <c r="AD2" s="19"/>
    </row>
    <row r="3" spans="8:8" ht="19.5" hidden="1">
      <c r="A3" s="7"/>
      <c r="B3" s="23" t="s">
        <v>12</v>
      </c>
      <c r="C3" s="23"/>
      <c r="D3" s="23" t="s">
        <v>5</v>
      </c>
      <c r="E3" s="24"/>
      <c r="F3" s="24"/>
      <c r="G3" s="25">
        <v>0.409</v>
      </c>
      <c r="H3" s="26"/>
      <c r="I3" s="13">
        <v>3950000.0</v>
      </c>
      <c r="J3" s="13"/>
      <c r="K3" s="14" t="str">
        <f>IF(G3*500&gt;=H3,"CBM","CBM + Overweight -"&amp;H3-(G3*500)&amp;" Kg")</f>
        <v>CBM</v>
      </c>
      <c r="L3" s="27">
        <v>4200000.0</v>
      </c>
      <c r="M3" s="27"/>
      <c r="N3" s="27"/>
      <c r="O3" s="28"/>
      <c r="P3" s="15">
        <f>IF(G3*500&lt;=H3,(I3*G3)+(J3*(H3-(G3*500)))+N3,I3*G3+N3)</f>
        <v>1615550.0</v>
      </c>
      <c r="Q3" s="16">
        <f>IF(G3*500&lt;=H3,(L3*G3)+(M3*(H3-(G3*500)))+N3,L3*G3+N3)</f>
        <v>1717800.0</v>
      </c>
      <c r="R3" s="16">
        <f>SUM(Q3-P3)</f>
        <v>102250.0</v>
      </c>
      <c r="S3" s="16" t="s">
        <v>82</v>
      </c>
      <c r="T3" s="16">
        <f>SUM((Q3-N3)*2.5%)</f>
        <v>42945.0</v>
      </c>
      <c r="U3" s="17"/>
      <c r="V3" s="16">
        <f>SUM(R3-T3)</f>
        <v>59305.0</v>
      </c>
      <c r="W3" s="18"/>
      <c r="X3" s="19"/>
      <c r="Y3" s="20"/>
      <c r="Z3" s="21" t="s">
        <v>50</v>
      </c>
      <c r="AA3" s="20" t="s">
        <v>55</v>
      </c>
      <c r="AB3" s="22"/>
      <c r="AC3" s="20"/>
      <c r="AD3" s="19"/>
    </row>
    <row r="4" spans="8:8" ht="19.5" hidden="1">
      <c r="A4" s="7"/>
      <c r="B4" s="8" t="s">
        <v>20</v>
      </c>
      <c r="C4" s="8"/>
      <c r="D4" s="8" t="s">
        <v>5</v>
      </c>
      <c r="E4" s="10"/>
      <c r="F4" s="10"/>
      <c r="G4" s="29">
        <v>6.871</v>
      </c>
      <c r="H4" s="30"/>
      <c r="I4" s="13">
        <v>3950000.0</v>
      </c>
      <c r="J4" s="13"/>
      <c r="K4" s="14" t="str">
        <f>IF(G4*500&gt;=H4,"CBM","CBM + Overweight -"&amp;H4-(G4*500)&amp;" Kg")</f>
        <v>CBM</v>
      </c>
      <c r="L4" s="13">
        <v>4200000.0</v>
      </c>
      <c r="M4" s="13"/>
      <c r="N4" s="13"/>
      <c r="O4" s="13"/>
      <c r="P4" s="15">
        <f>IF(G4*500&lt;=H4,(I4*G4)+(J4*(H4-(G4*500)))+N4,I4*G4+N4)</f>
        <v>2.714045E7</v>
      </c>
      <c r="Q4" s="16">
        <f>IF(G4*500&lt;=H4,(L4*G4)+(M4*(H4-(G4*500)))+N4,L4*G4+N4)</f>
        <v>2.88582E7</v>
      </c>
      <c r="R4" s="16">
        <f>SUM(Q4-P4)</f>
        <v>1717750.0</v>
      </c>
      <c r="S4" s="16" t="s">
        <v>83</v>
      </c>
      <c r="T4" s="16">
        <f>SUM((Q4-N4)*2.5%)</f>
        <v>721455.0</v>
      </c>
      <c r="U4" s="17"/>
      <c r="V4" s="16">
        <f>SUM(R4-T4)</f>
        <v>996295.0</v>
      </c>
      <c r="W4" s="18"/>
      <c r="X4" s="19"/>
      <c r="Y4" s="20"/>
      <c r="Z4" s="21" t="s">
        <v>50</v>
      </c>
      <c r="AA4" s="20" t="s">
        <v>55</v>
      </c>
      <c r="AB4" s="22"/>
      <c r="AC4" s="20"/>
      <c r="AD4" s="19"/>
    </row>
    <row r="5" spans="8:8" ht="19.5" hidden="1">
      <c r="A5" s="7"/>
      <c r="B5" s="8" t="s">
        <v>21</v>
      </c>
      <c r="C5" s="8"/>
      <c r="D5" s="8" t="s">
        <v>5</v>
      </c>
      <c r="E5" s="10"/>
      <c r="F5" s="10"/>
      <c r="G5" s="29">
        <v>0.751</v>
      </c>
      <c r="H5" s="30"/>
      <c r="I5" s="13">
        <v>3950000.0</v>
      </c>
      <c r="J5" s="13"/>
      <c r="K5" s="14" t="str">
        <f>IF(G5*500&gt;=H5,"CBM","CBM + Overweight -"&amp;H5-(G5*500)&amp;" Kg")</f>
        <v>CBM</v>
      </c>
      <c r="L5" s="13">
        <v>4200000.0</v>
      </c>
      <c r="M5" s="13"/>
      <c r="N5" s="13"/>
      <c r="O5" s="13"/>
      <c r="P5" s="15">
        <f>IF(G5*500&lt;=H5,(I5*G5)+(J5*(H5-(G5*500)))+N5,I5*G5+N5)</f>
        <v>2966450.0</v>
      </c>
      <c r="Q5" s="16">
        <f>IF(G5*500&lt;=H5,(L5*G5)+(M5*(H5-(G5*500)))+N5,L5*G5+N5)</f>
        <v>3154200.0</v>
      </c>
      <c r="R5" s="16">
        <f>SUM(Q5-P5)</f>
        <v>187750.0</v>
      </c>
      <c r="S5" s="16" t="s">
        <v>84</v>
      </c>
      <c r="T5" s="16">
        <f>SUM((Q5-N5)*2.5%)</f>
        <v>78855.0</v>
      </c>
      <c r="U5" s="17"/>
      <c r="V5" s="16">
        <f>SUM(R5-T5)</f>
        <v>108895.0</v>
      </c>
      <c r="W5" s="18"/>
      <c r="X5" s="19"/>
      <c r="Y5" s="20"/>
      <c r="Z5" s="21" t="s">
        <v>50</v>
      </c>
      <c r="AA5" s="20" t="s">
        <v>55</v>
      </c>
      <c r="AB5" s="22"/>
      <c r="AC5" s="20"/>
      <c r="AD5" s="19"/>
    </row>
    <row r="6" spans="8:8" ht="19.5" hidden="1">
      <c r="A6" s="31">
        <v>2.0</v>
      </c>
      <c r="B6" s="23">
        <v>2504.57</v>
      </c>
      <c r="C6" s="32">
        <v>46137.0</v>
      </c>
      <c r="D6" s="23" t="s">
        <v>6</v>
      </c>
      <c r="E6" s="24" t="s">
        <v>56</v>
      </c>
      <c r="F6" s="24" t="s">
        <v>52</v>
      </c>
      <c r="G6" s="25">
        <v>11.952</v>
      </c>
      <c r="H6" s="26"/>
      <c r="I6" s="13">
        <v>3950000.0</v>
      </c>
      <c r="J6" s="13"/>
      <c r="K6" s="14" t="str">
        <f>IF(G6*500&gt;=H6,"CBM","CBM + Overweight -"&amp;H6-(G6*500)&amp;" Kg")</f>
        <v>CBM</v>
      </c>
      <c r="L6" s="27">
        <v>4500000.0</v>
      </c>
      <c r="M6" s="27"/>
      <c r="N6" s="27"/>
      <c r="O6" s="27"/>
      <c r="P6" s="15">
        <f>IF(G6*500&lt;=H6,(I6*G6)+(J6*(H6-(G6*500)))+N6,I6*G6+N6)</f>
        <v>4.72104E7</v>
      </c>
      <c r="Q6" s="16">
        <f>IF(G6*500&lt;=H6,(L6*G6)+(M6*(H6-(G6*500)))+N6,L6*G6+N6)</f>
        <v>5.3784E7</v>
      </c>
      <c r="R6" s="16">
        <f>SUM(Q6-P6)</f>
        <v>6573600.0</v>
      </c>
      <c r="S6" s="16" t="s">
        <v>85</v>
      </c>
      <c r="T6" s="16">
        <f>SUM((Q6-N6)*2.5%)</f>
        <v>1344600.0</v>
      </c>
      <c r="U6" s="17"/>
      <c r="V6" s="16">
        <f>SUM(R6-T6)</f>
        <v>5229000.0</v>
      </c>
      <c r="W6" s="18"/>
      <c r="X6" s="19"/>
      <c r="Y6" s="20"/>
      <c r="Z6" s="21" t="s">
        <v>50</v>
      </c>
      <c r="AA6" s="20" t="s">
        <v>55</v>
      </c>
      <c r="AB6" s="22"/>
      <c r="AC6" s="20"/>
      <c r="AD6" s="19"/>
    </row>
    <row r="7" spans="8:8" ht="19.5" hidden="1">
      <c r="A7" s="7">
        <v>3.0</v>
      </c>
      <c r="B7" s="8" t="s">
        <v>7</v>
      </c>
      <c r="C7" s="8"/>
      <c r="D7" s="8" t="s">
        <v>6</v>
      </c>
      <c r="E7" s="10"/>
      <c r="F7" s="10"/>
      <c r="G7" s="29">
        <v>10.29</v>
      </c>
      <c r="H7" s="30"/>
      <c r="I7" s="13">
        <v>3950000.0</v>
      </c>
      <c r="J7" s="13"/>
      <c r="K7" s="14" t="str">
        <f>IF(G7*500&gt;=H7,"CBM","CBM + Overweight -"&amp;H7-(G7*500)&amp;" Kg")</f>
        <v>CBM</v>
      </c>
      <c r="L7" s="13">
        <v>4500000.0</v>
      </c>
      <c r="M7" s="13"/>
      <c r="N7" s="13"/>
      <c r="O7" s="13"/>
      <c r="P7" s="15">
        <f>IF(G7*500&lt;=H7,(I7*G7)+(J7*(H7-(G7*500)))+N7,I7*G7+N7)</f>
        <v>4.06455E7</v>
      </c>
      <c r="Q7" s="16">
        <f>IF(G7*500&lt;=H7,(L7*G7)+(M7*(H7-(G7*500)))+N7,L7*G7+N7)</f>
        <v>4.630499999999999E7</v>
      </c>
      <c r="R7" s="16">
        <f>SUM(Q7-P7)</f>
        <v>5659499.999999993</v>
      </c>
      <c r="S7" s="16" t="s">
        <v>86</v>
      </c>
      <c r="T7" s="16">
        <f>SUM((Q7-N7)*2.5%)</f>
        <v>1157624.9999999998</v>
      </c>
      <c r="U7" s="17"/>
      <c r="V7" s="16">
        <f>SUM(R7-T7)</f>
        <v>4501874.999999993</v>
      </c>
      <c r="W7" s="18"/>
      <c r="X7" s="19"/>
      <c r="Y7" s="20"/>
      <c r="Z7" s="21" t="s">
        <v>50</v>
      </c>
      <c r="AA7" s="20" t="s">
        <v>55</v>
      </c>
      <c r="AB7" s="22"/>
      <c r="AC7" s="20"/>
      <c r="AD7" s="19"/>
    </row>
    <row r="8" spans="8:8" ht="19.5" hidden="1">
      <c r="A8" s="7"/>
      <c r="B8" s="8"/>
      <c r="C8" s="8"/>
      <c r="D8" s="8" t="s">
        <v>22</v>
      </c>
      <c r="E8" s="10"/>
      <c r="F8" s="10"/>
      <c r="G8" s="29">
        <v>6.795</v>
      </c>
      <c r="H8" s="30"/>
      <c r="I8" s="13">
        <v>3950000.0</v>
      </c>
      <c r="J8" s="13"/>
      <c r="K8" s="14" t="str">
        <f>IF(G8*500&gt;=H8,"CBM","CBM + Overweight -"&amp;H8-(G8*500)&amp;" Kg")</f>
        <v>CBM</v>
      </c>
      <c r="L8" s="13">
        <v>4500000.0</v>
      </c>
      <c r="M8" s="13"/>
      <c r="N8" s="13"/>
      <c r="O8" s="13"/>
      <c r="P8" s="15">
        <f>IF(G8*500&lt;=H8,(I8*G8)+(J8*(H8-(G8*500)))+N8,I8*G8+N8)</f>
        <v>2.684025E7</v>
      </c>
      <c r="Q8" s="16">
        <f>IF(G8*500&lt;=H8,(L8*G8)+(M8*(H8-(G8*500)))+N8,L8*G8+N8)</f>
        <v>3.05775E7</v>
      </c>
      <c r="R8" s="16">
        <f>SUM(Q8-P8)</f>
        <v>3737250.0</v>
      </c>
      <c r="S8" s="16" t="s">
        <v>87</v>
      </c>
      <c r="T8" s="16">
        <f>SUM((Q8-N8)*2.5%)</f>
        <v>764437.5</v>
      </c>
      <c r="U8" s="17"/>
      <c r="V8" s="16">
        <f>SUM(R8-T8)</f>
        <v>2972812.5</v>
      </c>
      <c r="W8" s="18"/>
      <c r="X8" s="19"/>
      <c r="Y8" s="20"/>
      <c r="Z8" s="21" t="s">
        <v>50</v>
      </c>
      <c r="AA8" s="20" t="s">
        <v>55</v>
      </c>
      <c r="AB8" s="22"/>
      <c r="AC8" s="20"/>
      <c r="AD8" s="19"/>
    </row>
    <row r="9" spans="8:8" ht="19.5" hidden="1">
      <c r="A9" s="31">
        <v>4.0</v>
      </c>
      <c r="B9" s="23" t="s">
        <v>8</v>
      </c>
      <c r="C9" s="23"/>
      <c r="D9" s="23" t="s">
        <v>9</v>
      </c>
      <c r="E9" s="24"/>
      <c r="F9" s="24"/>
      <c r="G9" s="25">
        <v>0.517</v>
      </c>
      <c r="H9" s="26"/>
      <c r="I9" s="13">
        <v>3950000.0</v>
      </c>
      <c r="J9" s="13"/>
      <c r="K9" s="14" t="str">
        <f>IF(G9*500&gt;=H9,"CBM","CBM + Overweight -"&amp;H9-(G9*500)&amp;" Kg")</f>
        <v>CBM</v>
      </c>
      <c r="L9" s="27">
        <v>5500000.0</v>
      </c>
      <c r="M9" s="27"/>
      <c r="N9" s="27"/>
      <c r="O9" s="27"/>
      <c r="P9" s="15">
        <f>IF(G9*500&lt;=H9,(I9*G9)+(J9*(H9-(G9*500)))+N9,I9*G9+N9)</f>
        <v>2042150.0</v>
      </c>
      <c r="Q9" s="16">
        <f>IF(G9*500&lt;=H9,(L9*G9)+(M9*(H9-(G9*500)))+N9,L9*G9+N9)</f>
        <v>2843500.0</v>
      </c>
      <c r="R9" s="16">
        <f>SUM(Q9-P9)</f>
        <v>801350.0</v>
      </c>
      <c r="S9" s="16" t="s">
        <v>88</v>
      </c>
      <c r="T9" s="16">
        <f>SUM((Q9-N9)*2.5%)</f>
        <v>71087.5</v>
      </c>
      <c r="U9" s="17"/>
      <c r="V9" s="16">
        <f>SUM(R9-T9)</f>
        <v>730262.5</v>
      </c>
      <c r="W9" s="18"/>
      <c r="X9" s="19"/>
      <c r="Y9" s="20"/>
      <c r="Z9" s="21" t="s">
        <v>50</v>
      </c>
      <c r="AA9" s="20" t="s">
        <v>55</v>
      </c>
      <c r="AB9" s="22"/>
      <c r="AC9" s="20"/>
      <c r="AD9" s="19"/>
    </row>
    <row r="10" spans="8:8" ht="29.6" hidden="1">
      <c r="A10" s="31"/>
      <c r="B10" s="23"/>
      <c r="C10" s="23"/>
      <c r="D10" s="23"/>
      <c r="E10" s="24"/>
      <c r="F10" s="24"/>
      <c r="G10" s="25">
        <v>1.0</v>
      </c>
      <c r="H10" s="33">
        <v>600.0</v>
      </c>
      <c r="I10" s="13">
        <v>3950000.0</v>
      </c>
      <c r="J10" s="13">
        <v>9000.0</v>
      </c>
      <c r="K10" s="14" t="str">
        <f>IF(G10*500&gt;=H10,"CBM","CBM + Overweight -"&amp;H10-(G10*500)&amp;" Kg")</f>
        <v>CBM + Overweight -100 Kg</v>
      </c>
      <c r="L10" s="13">
        <v>4500000.0</v>
      </c>
      <c r="M10" s="27">
        <v>10000.0</v>
      </c>
      <c r="N10" s="27"/>
      <c r="O10" s="27"/>
      <c r="P10" s="15">
        <f>IF(G10*500&lt;=H10,(I10*G10)+(J10*(H10-(G10*500)))+N10,I10*G10+N10)</f>
        <v>4850000.0</v>
      </c>
      <c r="Q10" s="16">
        <f>IF(G10*500&lt;=H10,(L10*G10)+(M10*(H10-(G10*500)))+N10,L10*G10+N10)</f>
        <v>5500000.0</v>
      </c>
      <c r="R10" s="16">
        <f>SUM(Q10-P10)</f>
        <v>650000.0</v>
      </c>
      <c r="S10" s="16" t="s">
        <v>89</v>
      </c>
      <c r="T10" s="16">
        <f>SUM((Q10-N10)*2.5%)</f>
        <v>137500.0</v>
      </c>
      <c r="U10" s="17"/>
      <c r="V10" s="16">
        <f>SUM(R10-T10)</f>
        <v>512500.0</v>
      </c>
      <c r="W10" s="18"/>
      <c r="X10" s="19"/>
      <c r="Y10" s="20"/>
      <c r="Z10" s="21" t="s">
        <v>57</v>
      </c>
      <c r="AA10" s="20" t="s">
        <v>55</v>
      </c>
      <c r="AB10" s="22"/>
      <c r="AC10" s="20"/>
      <c r="AD10" s="19"/>
    </row>
    <row r="11" spans="8:8" ht="19.5" hidden="1">
      <c r="A11" s="31"/>
      <c r="B11" s="8">
        <v>2804.02</v>
      </c>
      <c r="C11" s="8"/>
      <c r="D11" s="8" t="s">
        <v>13</v>
      </c>
      <c r="E11" s="10"/>
      <c r="F11" s="10"/>
      <c r="G11" s="29">
        <v>9.729</v>
      </c>
      <c r="H11" s="30"/>
      <c r="I11" s="13">
        <v>5650000.0</v>
      </c>
      <c r="J11" s="13"/>
      <c r="K11" s="14" t="str">
        <f>IF(G11*500&gt;=H11,"CBM","CBM + Overweight -"&amp;H11-(G11*500)&amp;" Kg")</f>
        <v>CBM</v>
      </c>
      <c r="L11" s="13">
        <v>6500000.0</v>
      </c>
      <c r="M11" s="13"/>
      <c r="N11" s="13"/>
      <c r="O11" s="13"/>
      <c r="P11" s="15">
        <f>IF(G11*500&lt;=H11,(I11*G11)+(J11*(H11-(G11*500)))+N11,I11*G11+N11)</f>
        <v>5.496884999999999E7</v>
      </c>
      <c r="Q11" s="16">
        <f>IF(G11*500&lt;=H11,(L11*G11)+(M11*(H11-(G11*500)))+N11,L11*G11+N11)</f>
        <v>6.323849999999999E7</v>
      </c>
      <c r="R11" s="16">
        <f>SUM(Q11-P11)</f>
        <v>8269650.0</v>
      </c>
      <c r="S11" s="16" t="s">
        <v>90</v>
      </c>
      <c r="T11" s="16">
        <f>SUM((Q11-N11)*2.5%)</f>
        <v>1580962.5</v>
      </c>
      <c r="U11" s="17"/>
      <c r="V11" s="16">
        <f>SUM(R11-T11)</f>
        <v>6688687.5</v>
      </c>
      <c r="W11" s="18"/>
      <c r="X11" s="19"/>
      <c r="Y11" s="20"/>
      <c r="Z11" s="21" t="s">
        <v>50</v>
      </c>
      <c r="AA11" s="20" t="s">
        <v>55</v>
      </c>
      <c r="AB11" s="22"/>
      <c r="AC11" s="20"/>
      <c r="AD11" s="19"/>
    </row>
    <row r="12" spans="8:8" ht="27.8" customFormat="1" customHeight="1">
      <c r="A12" s="31"/>
      <c r="B12" s="8" t="s">
        <v>76</v>
      </c>
      <c r="C12" s="8" t="s">
        <v>77</v>
      </c>
      <c r="D12" s="8" t="s">
        <v>79</v>
      </c>
      <c r="E12" s="10" t="s">
        <v>80</v>
      </c>
      <c r="F12" s="10" t="s">
        <v>81</v>
      </c>
      <c r="G12" s="29">
        <v>2.598</v>
      </c>
      <c r="H12" s="12">
        <v>500.0</v>
      </c>
      <c r="I12" s="13">
        <v>5000000.0</v>
      </c>
      <c r="J12" s="13">
        <v>10000.0</v>
      </c>
      <c r="K12" s="14" t="str">
        <f>IF(G12*500&gt;=H12,"CBM","CBM + Overweight -"&amp;H12-(G12*500)&amp;" Kg")</f>
        <v>CBM</v>
      </c>
      <c r="L12" s="13">
        <v>5500000.0</v>
      </c>
      <c r="M12" s="13">
        <v>11000.0</v>
      </c>
      <c r="N12" s="13">
        <v>0.0</v>
      </c>
      <c r="O12" s="13" t="s">
        <v>75</v>
      </c>
      <c r="P12" s="15">
        <f>IF(G12*500&lt;=H12,(I12*G12)+(J12*(H12-(G12*500)))+N12,I12*G12+N12)</f>
        <v>1.299E7</v>
      </c>
      <c r="Q12" s="16">
        <f>IF(G12*500&lt;=H12,(L12*G12)+(M12*(H12-(G12*500)))+N12,L12*G12+N12)</f>
        <v>1.4289E7</v>
      </c>
      <c r="R12" s="16">
        <f>SUM(Q12-P12)</f>
        <v>1299000.0</v>
      </c>
      <c r="S12" s="16" t="s">
        <v>63</v>
      </c>
      <c r="T12" s="16">
        <f>SUM((Q12-N12)*2.5%)</f>
        <v>357225.0</v>
      </c>
      <c r="U12" s="17"/>
      <c r="V12" s="16">
        <f>SUM(R12-T12)</f>
        <v>941775.0</v>
      </c>
      <c r="W12" s="18" t="s">
        <v>92</v>
      </c>
      <c r="X12" s="19"/>
      <c r="Y12" s="20"/>
      <c r="Z12" s="21" t="s">
        <v>73</v>
      </c>
      <c r="AA12" s="20" t="s">
        <v>74</v>
      </c>
      <c r="AB12" s="22" t="s">
        <v>75</v>
      </c>
      <c r="AC12" s="20" t="s">
        <v>75</v>
      </c>
      <c r="AD12" s="19"/>
    </row>
    <row r="13" spans="8:8" ht="30.85" customHeight="1">
      <c r="A13" s="31"/>
      <c r="B13" s="34" t="s">
        <v>72</v>
      </c>
      <c r="C13" s="34"/>
      <c r="D13" s="35"/>
      <c r="E13" s="35"/>
      <c r="F13" s="35"/>
      <c r="G13" s="36">
        <f>SUM(G2)</f>
        <v>1.0</v>
      </c>
      <c r="H13" s="37">
        <f>SUM(H2)</f>
        <v>600.0</v>
      </c>
      <c r="I13" s="38" t="s">
        <v>69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9">
        <f>SUM(V2+V12)</f>
        <v>1224275.0</v>
      </c>
      <c r="W13" s="39"/>
      <c r="X13" s="19"/>
      <c r="Y13" s="20"/>
      <c r="Z13" s="40"/>
      <c r="AA13" s="40"/>
      <c r="AB13" s="40"/>
      <c r="AC13" s="40"/>
      <c r="AD13" s="19"/>
      <c r="AE13" s="41"/>
    </row>
    <row r="14" spans="8:8" ht="22.8" hidden="1" customHeight="1">
      <c r="A14" s="42"/>
      <c r="B14" s="43"/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19"/>
      <c r="Y14" s="20"/>
      <c r="Z14" s="45"/>
      <c r="AA14" s="45"/>
      <c r="AB14" s="45"/>
      <c r="AC14" s="45"/>
      <c r="AD14" s="19"/>
    </row>
    <row r="15" spans="8:8" ht="15.5" hidden="1">
      <c r="A15" s="7">
        <v>5.0</v>
      </c>
      <c r="B15" s="8" t="s">
        <v>10</v>
      </c>
      <c r="C15" s="8"/>
      <c r="D15" s="8" t="s">
        <v>11</v>
      </c>
      <c r="E15" s="10"/>
      <c r="F15" s="10"/>
      <c r="G15" s="30">
        <v>5.1563</v>
      </c>
      <c r="H15" s="30"/>
      <c r="I15" s="13">
        <v>3950000.0</v>
      </c>
      <c r="J15" s="13"/>
      <c r="K15" s="46" t="s">
        <v>3</v>
      </c>
      <c r="L15" s="13">
        <v>4500000.0</v>
      </c>
      <c r="M15" s="13"/>
      <c r="N15" s="13"/>
      <c r="O15" s="13"/>
      <c r="P15" s="13"/>
      <c r="Q15" s="47">
        <f>SUM(L15*G15)</f>
        <v>2.320335E7</v>
      </c>
      <c r="R15" s="47"/>
      <c r="S15" s="47"/>
      <c r="T15" s="47"/>
      <c r="U15" s="47"/>
      <c r="V15" s="47" t="e">
        <f>SUM(Q15-#REF!)</f>
        <v>#REF!</v>
      </c>
      <c r="W15" s="18" t="s">
        <v>26</v>
      </c>
      <c r="X15" s="19"/>
      <c r="Y15" s="20"/>
      <c r="Z15" s="45"/>
      <c r="AA15" s="45"/>
      <c r="AB15" s="45"/>
      <c r="AC15" s="45"/>
      <c r="AD15" s="19"/>
    </row>
    <row r="16" spans="8:8" ht="15.5" hidden="1">
      <c r="A16" s="31">
        <v>8.0</v>
      </c>
      <c r="B16" s="23">
        <v>1704.47</v>
      </c>
      <c r="C16" s="23"/>
      <c r="D16" s="23" t="s">
        <v>14</v>
      </c>
      <c r="E16" s="24"/>
      <c r="F16" s="24"/>
      <c r="G16" s="26">
        <v>12.2322</v>
      </c>
      <c r="H16" s="26"/>
      <c r="I16" s="13">
        <v>3950000.0</v>
      </c>
      <c r="J16" s="13"/>
      <c r="K16" s="46" t="s">
        <v>3</v>
      </c>
      <c r="L16" s="27">
        <v>4300000.0</v>
      </c>
      <c r="M16" s="27"/>
      <c r="N16" s="27"/>
      <c r="O16" s="27"/>
      <c r="P16" s="27"/>
      <c r="Q16" s="47">
        <f>SUM(L16*G16)</f>
        <v>5.259846E7</v>
      </c>
      <c r="R16" s="47"/>
      <c r="S16" s="47"/>
      <c r="T16" s="47"/>
      <c r="U16" s="47"/>
      <c r="V16" s="47" t="e">
        <f>SUM(Q16-#REF!)</f>
        <v>#REF!</v>
      </c>
      <c r="W16" s="18"/>
      <c r="X16" s="19"/>
      <c r="Y16" s="20"/>
      <c r="Z16" s="45"/>
      <c r="AA16" s="45"/>
      <c r="AB16" s="45"/>
      <c r="AC16" s="45"/>
      <c r="AD16" s="19"/>
    </row>
    <row r="17" spans="8:8" ht="15.5" hidden="1">
      <c r="A17" s="7">
        <v>9.0</v>
      </c>
      <c r="B17" s="8">
        <v>2404.43</v>
      </c>
      <c r="C17" s="8"/>
      <c r="D17" s="8" t="s">
        <v>14</v>
      </c>
      <c r="E17" s="10"/>
      <c r="F17" s="10"/>
      <c r="G17" s="30">
        <v>10.1262</v>
      </c>
      <c r="H17" s="30"/>
      <c r="I17" s="13">
        <v>3950000.0</v>
      </c>
      <c r="J17" s="13"/>
      <c r="K17" s="46" t="s">
        <v>3</v>
      </c>
      <c r="L17" s="13">
        <v>4300000.0</v>
      </c>
      <c r="M17" s="13"/>
      <c r="N17" s="13"/>
      <c r="O17" s="13"/>
      <c r="P17" s="13"/>
      <c r="Q17" s="47">
        <f>SUM(L17*G17)</f>
        <v>4.354266E7</v>
      </c>
      <c r="R17" s="47"/>
      <c r="S17" s="47"/>
      <c r="T17" s="47"/>
      <c r="U17" s="47"/>
      <c r="V17" s="47" t="e">
        <f>SUM(Q17-#REF!)</f>
        <v>#REF!</v>
      </c>
      <c r="W17" s="18"/>
      <c r="X17" s="19"/>
      <c r="Y17" s="20"/>
      <c r="Z17" s="45"/>
      <c r="AA17" s="45"/>
      <c r="AB17" s="45"/>
      <c r="AC17" s="45"/>
      <c r="AD17" s="19"/>
    </row>
    <row r="18" spans="8:8" ht="15.5" hidden="1">
      <c r="A18" s="31">
        <v>10.0</v>
      </c>
      <c r="B18" s="23" t="s">
        <v>15</v>
      </c>
      <c r="C18" s="23"/>
      <c r="D18" s="23" t="s">
        <v>16</v>
      </c>
      <c r="E18" s="24"/>
      <c r="F18" s="24"/>
      <c r="G18" s="26">
        <v>0.3594</v>
      </c>
      <c r="H18" s="26"/>
      <c r="I18" s="13">
        <v>3950000.0</v>
      </c>
      <c r="J18" s="13"/>
      <c r="K18" s="46" t="s">
        <v>3</v>
      </c>
      <c r="L18" s="27">
        <v>4500000.0</v>
      </c>
      <c r="M18" s="27"/>
      <c r="N18" s="27"/>
      <c r="O18" s="27"/>
      <c r="P18" s="27"/>
      <c r="Q18" s="47">
        <f>SUM(L18*G18)</f>
        <v>1617300.0</v>
      </c>
      <c r="R18" s="47"/>
      <c r="S18" s="47"/>
      <c r="T18" s="47"/>
      <c r="U18" s="47"/>
      <c r="V18" s="47" t="e">
        <f>SUM(Q18-#REF!)</f>
        <v>#REF!</v>
      </c>
      <c r="W18" s="18"/>
      <c r="X18" s="19"/>
      <c r="Y18" s="20"/>
      <c r="Z18" s="45"/>
      <c r="AA18" s="45"/>
      <c r="AB18" s="45"/>
      <c r="AC18" s="45"/>
      <c r="AD18" s="19"/>
    </row>
    <row r="19" spans="8:8" ht="15.5" hidden="1">
      <c r="A19" s="7">
        <v>11.0</v>
      </c>
      <c r="B19" s="8" t="s">
        <v>17</v>
      </c>
      <c r="C19" s="8"/>
      <c r="D19" s="8" t="s">
        <v>16</v>
      </c>
      <c r="E19" s="10"/>
      <c r="F19" s="10"/>
      <c r="G19" s="30">
        <v>0.216</v>
      </c>
      <c r="H19" s="30"/>
      <c r="I19" s="13">
        <v>3950000.0</v>
      </c>
      <c r="J19" s="13"/>
      <c r="K19" s="46" t="s">
        <v>3</v>
      </c>
      <c r="L19" s="13">
        <v>4500000.0</v>
      </c>
      <c r="M19" s="13"/>
      <c r="N19" s="13"/>
      <c r="O19" s="13"/>
      <c r="P19" s="13"/>
      <c r="Q19" s="47">
        <f>SUM(L19*G19)</f>
        <v>972000.0</v>
      </c>
      <c r="R19" s="47"/>
      <c r="S19" s="47"/>
      <c r="T19" s="47"/>
      <c r="U19" s="47"/>
      <c r="V19" s="47" t="e">
        <f>SUM(Q19-#REF!)</f>
        <v>#REF!</v>
      </c>
      <c r="W19" s="18"/>
      <c r="X19" s="19"/>
      <c r="Y19" s="20"/>
      <c r="Z19" s="45"/>
      <c r="AA19" s="45"/>
      <c r="AB19" s="45"/>
      <c r="AC19" s="45"/>
      <c r="AD19" s="19"/>
    </row>
    <row r="20" spans="8:8" ht="15.5" hidden="1">
      <c r="A20" s="31">
        <v>12.0</v>
      </c>
      <c r="B20" s="23" t="s">
        <v>18</v>
      </c>
      <c r="C20" s="23"/>
      <c r="D20" s="23" t="s">
        <v>19</v>
      </c>
      <c r="E20" s="24"/>
      <c r="F20" s="24"/>
      <c r="G20" s="26">
        <v>1.763</v>
      </c>
      <c r="H20" s="26"/>
      <c r="I20" s="13">
        <v>3950000.0</v>
      </c>
      <c r="J20" s="13"/>
      <c r="K20" s="46" t="s">
        <v>3</v>
      </c>
      <c r="L20" s="27">
        <v>5800000.0</v>
      </c>
      <c r="M20" s="27"/>
      <c r="N20" s="27"/>
      <c r="O20" s="27"/>
      <c r="P20" s="27"/>
      <c r="Q20" s="47">
        <f>SUM(L20*G20)</f>
        <v>1.02254E7</v>
      </c>
      <c r="R20" s="47"/>
      <c r="S20" s="47"/>
      <c r="T20" s="47"/>
      <c r="U20" s="47"/>
      <c r="V20" s="47" t="e">
        <f>SUM(Q20-#REF!)</f>
        <v>#REF!</v>
      </c>
      <c r="W20" s="18"/>
      <c r="X20" s="19"/>
      <c r="Y20" s="20"/>
      <c r="Z20" s="45"/>
      <c r="AA20" s="45"/>
      <c r="AB20" s="45"/>
      <c r="AC20" s="45"/>
      <c r="AD20" s="19"/>
    </row>
    <row r="21" spans="8:8" s="48" ht="15.5" hidden="1" customFormat="1">
      <c r="B21" s="34" t="s">
        <v>32</v>
      </c>
      <c r="C21" s="34"/>
      <c r="D21" s="35"/>
      <c r="E21" s="35"/>
      <c r="F21" s="35"/>
      <c r="G21" s="49">
        <f>SUM(G15:G20)</f>
        <v>29.853100000000005</v>
      </c>
      <c r="H21" s="50"/>
      <c r="I21" s="51" t="s">
        <v>27</v>
      </c>
      <c r="J21" s="52"/>
      <c r="K21" s="52"/>
      <c r="L21" s="52"/>
      <c r="M21" s="52"/>
      <c r="N21" s="52"/>
      <c r="O21" s="52"/>
      <c r="P21" s="52"/>
      <c r="Q21" s="53"/>
      <c r="R21" s="53"/>
      <c r="S21" s="53"/>
      <c r="T21" s="53"/>
      <c r="U21" s="53"/>
      <c r="V21" s="54" t="e">
        <f>SUM(V14:V20)</f>
        <v>#REF!</v>
      </c>
      <c r="W21" s="18"/>
      <c r="X21" s="19"/>
      <c r="Y21" s="20"/>
      <c r="Z21" s="45"/>
      <c r="AA21" s="45"/>
      <c r="AB21" s="45"/>
      <c r="AC21" s="45"/>
      <c r="AD21" s="19"/>
    </row>
    <row r="22" spans="8:8" ht="31.45" customHeight="1">
      <c r="B22" s="34" t="s">
        <v>32</v>
      </c>
      <c r="C22" s="34"/>
      <c r="D22" s="35"/>
      <c r="E22" s="35"/>
      <c r="F22" s="35"/>
      <c r="G22" s="55">
        <f>SUM(G2)</f>
        <v>1.0</v>
      </c>
      <c r="H22" s="56" t="s">
        <v>30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7">
        <f>SUM(G22*150000)</f>
        <v>150000.0</v>
      </c>
      <c r="W22" s="58" t="s">
        <v>31</v>
      </c>
      <c r="X22" s="59"/>
      <c r="Y22" s="20"/>
      <c r="Z22" s="45"/>
      <c r="AA22" s="45"/>
      <c r="AB22" s="45"/>
      <c r="AC22" s="45"/>
      <c r="AD22" s="60"/>
    </row>
    <row r="23" spans="8:8" ht="14.4"/>
    <row r="24" spans="8:8" ht="14.8">
      <c r="B24" s="3" t="s">
        <v>1</v>
      </c>
      <c r="C24" s="3" t="s">
        <v>43</v>
      </c>
      <c r="D24" s="4" t="s">
        <v>2</v>
      </c>
      <c r="E24" s="4" t="s">
        <v>36</v>
      </c>
      <c r="F24" s="4" t="s">
        <v>47</v>
      </c>
      <c r="G24" s="4" t="s">
        <v>3</v>
      </c>
      <c r="H24" s="3" t="s">
        <v>35</v>
      </c>
      <c r="I24" s="3" t="s">
        <v>41</v>
      </c>
      <c r="J24" s="3" t="s">
        <v>33</v>
      </c>
      <c r="K24" s="3" t="s">
        <v>37</v>
      </c>
      <c r="L24" s="3" t="s">
        <v>38</v>
      </c>
      <c r="M24" s="3" t="s">
        <v>39</v>
      </c>
      <c r="N24" s="3" t="s">
        <v>51</v>
      </c>
      <c r="O24" s="3" t="s">
        <v>37</v>
      </c>
      <c r="P24" s="3" t="s">
        <v>60</v>
      </c>
      <c r="Q24" s="3" t="s">
        <v>24</v>
      </c>
      <c r="R24" s="3" t="s">
        <v>62</v>
      </c>
      <c r="S24" s="3" t="s">
        <v>61</v>
      </c>
      <c r="T24" s="3" t="s">
        <v>64</v>
      </c>
      <c r="U24" s="3" t="s">
        <v>93</v>
      </c>
      <c r="V24" s="5" t="s">
        <v>67</v>
      </c>
      <c r="W24" s="5" t="s">
        <v>25</v>
      </c>
      <c r="X24" s="5" t="s">
        <v>53</v>
      </c>
      <c r="Y24" s="6" t="s">
        <v>65</v>
      </c>
      <c r="Z24" s="6" t="s">
        <v>48</v>
      </c>
      <c r="AA24" s="6" t="s">
        <v>54</v>
      </c>
      <c r="AB24" s="6" t="s">
        <v>49</v>
      </c>
      <c r="AC24" s="6" t="s">
        <v>28</v>
      </c>
    </row>
    <row r="25" spans="8:8" ht="29.6">
      <c r="B25" s="8" t="s">
        <v>4</v>
      </c>
      <c r="C25" s="8" t="s">
        <v>71</v>
      </c>
      <c r="D25" s="8" t="s">
        <v>94</v>
      </c>
      <c r="E25" s="9" t="s">
        <v>58</v>
      </c>
      <c r="F25" s="10" t="s">
        <v>52</v>
      </c>
      <c r="G25" s="11">
        <v>2.5</v>
      </c>
      <c r="H25" s="12">
        <v>600.0</v>
      </c>
      <c r="I25" s="13">
        <v>3950000.0</v>
      </c>
      <c r="J25" s="13">
        <v>7400.0</v>
      </c>
      <c r="K25" s="14" t="str">
        <f>IF(G25*500&gt;=H25,"CBM","CBM + Overweight -"&amp;H25-(G25*500)&amp;" Kg")</f>
        <v>CBM</v>
      </c>
      <c r="L25" s="13">
        <v>4200000.0</v>
      </c>
      <c r="M25" s="13">
        <v>9000.0</v>
      </c>
      <c r="N25" s="13">
        <v>1000000.0</v>
      </c>
      <c r="O25" s="15" t="s">
        <v>59</v>
      </c>
      <c r="P25" s="15">
        <f>IF(G25*500&lt;=H25,(I25*G25)+(J25*(H25-(G25*500)))+N25,I25*G25+N25)</f>
        <v>1.0875E7</v>
      </c>
      <c r="Q25" s="16">
        <f>IF(G25*500&lt;=H25,(L25*G25)+(M25*(H25-(G25*500)))+N25,L25*G25+N25)</f>
        <v>1.15E7</v>
      </c>
      <c r="R25" s="16">
        <f>SUM(Q25-P25)</f>
        <v>625000.0</v>
      </c>
      <c r="S25" s="16" t="s">
        <v>63</v>
      </c>
      <c r="T25" s="16">
        <f>SUM((Q25-N25)*2.5%)</f>
        <v>262500.0</v>
      </c>
      <c r="U25" s="17">
        <f>SUM(T25+T26)</f>
        <v>619725.0</v>
      </c>
      <c r="V25" s="16">
        <f>SUM(R25-T25)</f>
        <v>362500.0</v>
      </c>
      <c r="W25" s="18" t="s">
        <v>97</v>
      </c>
      <c r="X25" s="19"/>
      <c r="Y25" s="20" t="s">
        <v>26</v>
      </c>
      <c r="Z25" s="21" t="s">
        <v>50</v>
      </c>
      <c r="AA25" s="20" t="s">
        <v>55</v>
      </c>
      <c r="AB25" s="22">
        <v>46151.0</v>
      </c>
      <c r="AC25" s="20">
        <v>450.0</v>
      </c>
    </row>
    <row r="26" spans="8:8" ht="19.5">
      <c r="B26" s="8" t="s">
        <v>76</v>
      </c>
      <c r="C26" s="8" t="s">
        <v>77</v>
      </c>
      <c r="D26" s="8" t="s">
        <v>95</v>
      </c>
      <c r="E26" s="10" t="s">
        <v>80</v>
      </c>
      <c r="F26" s="10" t="s">
        <v>81</v>
      </c>
      <c r="G26" s="29">
        <v>2.598</v>
      </c>
      <c r="H26" s="12">
        <v>500.0</v>
      </c>
      <c r="I26" s="13">
        <v>5000000.0</v>
      </c>
      <c r="J26" s="13">
        <v>10000.0</v>
      </c>
      <c r="K26" s="14" t="str">
        <f>IF(G26*500&gt;=H26,"CBM","CBM + Overweight -"&amp;H26-(G26*500)&amp;" Kg")</f>
        <v>CBM</v>
      </c>
      <c r="L26" s="13">
        <v>5500000.0</v>
      </c>
      <c r="M26" s="13">
        <v>11000.0</v>
      </c>
      <c r="N26" s="13">
        <v>0.0</v>
      </c>
      <c r="O26" s="13" t="s">
        <v>75</v>
      </c>
      <c r="P26" s="15">
        <f>IF(G26*500&lt;=H26,(I26*G26)+(J26*(H26-(G26*500)))+N26,I26*G26+N26)</f>
        <v>1.299E7</v>
      </c>
      <c r="Q26" s="16">
        <f>IF(G26*500&lt;=H26,(L26*G26)+(M26*(H26-(G26*500)))+N26,L26*G26+N26)</f>
        <v>1.4289E7</v>
      </c>
      <c r="R26" s="16">
        <f>SUM(Q26-P26)</f>
        <v>1299000.0</v>
      </c>
      <c r="S26" s="16" t="s">
        <v>63</v>
      </c>
      <c r="T26" s="16">
        <f>SUM((Q26-N26)*2.5%)</f>
        <v>357225.0</v>
      </c>
      <c r="U26" s="17"/>
      <c r="V26" s="16">
        <f>SUM(R26-T26)</f>
        <v>941775.0</v>
      </c>
      <c r="W26" s="18" t="s">
        <v>98</v>
      </c>
      <c r="X26" s="19"/>
      <c r="Y26" s="20"/>
      <c r="Z26" s="21" t="s">
        <v>73</v>
      </c>
      <c r="AA26" s="20" t="s">
        <v>74</v>
      </c>
      <c r="AB26" s="22" t="s">
        <v>75</v>
      </c>
      <c r="AC26" s="20" t="s">
        <v>75</v>
      </c>
    </row>
    <row r="27" spans="8:8" ht="19.5">
      <c r="B27" s="34" t="s">
        <v>72</v>
      </c>
      <c r="C27" s="34"/>
      <c r="D27" s="35"/>
      <c r="E27" s="35"/>
      <c r="F27" s="35"/>
      <c r="G27" s="36">
        <f>SUM(G25)</f>
        <v>2.5</v>
      </c>
      <c r="H27" s="37">
        <f>SUM(H25)</f>
        <v>600.0</v>
      </c>
      <c r="I27" s="38" t="s">
        <v>69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>
        <f>SUM(V25+V26)</f>
        <v>1304275.0</v>
      </c>
      <c r="W27" s="39"/>
      <c r="X27" s="19"/>
      <c r="Y27" s="20"/>
      <c r="Z27" s="40"/>
      <c r="AA27" s="40"/>
      <c r="AB27" s="40"/>
      <c r="AC27" s="40"/>
    </row>
    <row r="28" spans="8:8" ht="14.4">
      <c r="B28" s="34" t="s">
        <v>32</v>
      </c>
      <c r="C28" s="34"/>
      <c r="D28" s="35"/>
      <c r="E28" s="35"/>
      <c r="F28" s="35"/>
      <c r="G28" s="55">
        <f>SUM(G25)</f>
        <v>2.5</v>
      </c>
      <c r="H28" s="56" t="s">
        <v>30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7">
        <f>SUM(G28*150000)</f>
        <v>375000.0</v>
      </c>
      <c r="W28" s="58" t="s">
        <v>31</v>
      </c>
      <c r="X28" s="59"/>
      <c r="Y28" s="20"/>
      <c r="Z28" s="45"/>
      <c r="AA28" s="45"/>
      <c r="AB28" s="45"/>
      <c r="AC28" s="45"/>
    </row>
    <row r="29" spans="8:8" ht="14.4"/>
    <row r="30" spans="8:8" ht="14.4"/>
    <row r="31" spans="8:8" ht="14.4"/>
    <row r="32" spans="8:8" ht="14.4"/>
    <row r="33" spans="8:8" ht="14.4"/>
    <row r="34" spans="8:8" ht="14.4"/>
    <row r="35" spans="8:8" ht="14.4"/>
    <row r="36" spans="8:8" ht="14.4"/>
  </sheetData>
  <mergeCells count="20">
    <mergeCell ref="B14:W14"/>
    <mergeCell ref="I27:U27"/>
    <mergeCell ref="B27:D27"/>
    <mergeCell ref="V27:W27"/>
    <mergeCell ref="U25:U26"/>
    <mergeCell ref="B28:D28"/>
    <mergeCell ref="Y25:Y28"/>
    <mergeCell ref="Z27:AC28"/>
    <mergeCell ref="Y2:Y22"/>
    <mergeCell ref="B22:D22"/>
    <mergeCell ref="B21:D21"/>
    <mergeCell ref="I13:U13"/>
    <mergeCell ref="H28:U28"/>
    <mergeCell ref="W15:W21"/>
    <mergeCell ref="V13:W13"/>
    <mergeCell ref="I21:Q21"/>
    <mergeCell ref="H22:U22"/>
    <mergeCell ref="B13:D13"/>
    <mergeCell ref="U2:U12"/>
    <mergeCell ref="Z13:A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cp:lastModifiedBy>david tanaya</cp:lastModifiedBy>
  <dcterms:created xsi:type="dcterms:W3CDTF">2026-06-12T04:04:14Z</dcterms:created>
  <dcterms:modified xsi:type="dcterms:W3CDTF">2026-06-25T21:30:47Z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9df4cc5c065e4e9ca7cab7026bcc397a</vt:lpwstr>
  </property>
</Properties>
</file>